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ttendance-System\attendance-frontend\public\templates\"/>
    </mc:Choice>
  </mc:AlternateContent>
  <xr:revisionPtr revIDLastSave="0" documentId="13_ncr:1_{73C5AA03-77F5-4879-A9F8-540DA171B9DE}" xr6:coauthVersionLast="47" xr6:coauthVersionMax="47" xr10:uidLastSave="{00000000-0000-0000-0000-000000000000}"/>
  <bookViews>
    <workbookView xWindow="-108" yWindow="-108" windowWidth="23256" windowHeight="13176" xr2:uid="{1F8FF5DB-CEE2-4D5C-A524-595535986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U31" i="1" s="1"/>
  <c r="AV31" i="1" s="1"/>
  <c r="I37" i="1"/>
  <c r="H37" i="1"/>
  <c r="G37" i="1"/>
  <c r="AS27" i="1" s="1"/>
  <c r="F37" i="1"/>
  <c r="E37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AT35" i="1"/>
  <c r="AS35" i="1"/>
  <c r="AT34" i="1"/>
  <c r="AS34" i="1"/>
  <c r="AT33" i="1"/>
  <c r="AS33" i="1"/>
  <c r="AT32" i="1"/>
  <c r="AS32" i="1"/>
  <c r="AT31" i="1"/>
  <c r="AS31" i="1"/>
  <c r="A3" i="1"/>
  <c r="AU34" i="1" l="1"/>
  <c r="AV34" i="1" s="1"/>
  <c r="C40" i="1"/>
  <c r="AS20" i="1"/>
  <c r="AU35" i="1"/>
  <c r="AV35" i="1" s="1"/>
  <c r="AS21" i="1"/>
  <c r="AU21" i="1" s="1"/>
  <c r="AV21" i="1" s="1"/>
  <c r="AT15" i="1"/>
  <c r="AT18" i="1"/>
  <c r="AT21" i="1"/>
  <c r="AT24" i="1"/>
  <c r="AU24" i="1" s="1"/>
  <c r="AV24" i="1" s="1"/>
  <c r="AT27" i="1"/>
  <c r="AT30" i="1"/>
  <c r="AU27" i="1"/>
  <c r="AV27" i="1" s="1"/>
  <c r="AU30" i="1"/>
  <c r="AV30" i="1" s="1"/>
  <c r="AU33" i="1"/>
  <c r="AV33" i="1" s="1"/>
  <c r="AS14" i="1"/>
  <c r="AU14" i="1" s="1"/>
  <c r="AV14" i="1" s="1"/>
  <c r="AS23" i="1"/>
  <c r="AU23" i="1" s="1"/>
  <c r="AV23" i="1" s="1"/>
  <c r="AU32" i="1"/>
  <c r="AV32" i="1" s="1"/>
  <c r="AS15" i="1"/>
  <c r="AU15" i="1" s="1"/>
  <c r="AV15" i="1" s="1"/>
  <c r="AS18" i="1"/>
  <c r="AS24" i="1"/>
  <c r="AS30" i="1"/>
  <c r="AS17" i="1"/>
  <c r="AU17" i="1" s="1"/>
  <c r="AV17" i="1" s="1"/>
  <c r="AS13" i="1"/>
  <c r="AU13" i="1" s="1"/>
  <c r="AS19" i="1"/>
  <c r="AU19" i="1" s="1"/>
  <c r="AV19" i="1" s="1"/>
  <c r="AS22" i="1"/>
  <c r="AU22" i="1" s="1"/>
  <c r="AV22" i="1" s="1"/>
  <c r="AS25" i="1"/>
  <c r="AU25" i="1" s="1"/>
  <c r="AV25" i="1" s="1"/>
  <c r="AS28" i="1"/>
  <c r="C41" i="1"/>
  <c r="AS16" i="1"/>
  <c r="AU16" i="1" s="1"/>
  <c r="AV16" i="1" s="1"/>
  <c r="AT13" i="1"/>
  <c r="AT16" i="1"/>
  <c r="AT19" i="1"/>
  <c r="AT22" i="1"/>
  <c r="AT25" i="1"/>
  <c r="AT28" i="1"/>
  <c r="AS26" i="1"/>
  <c r="AU26" i="1" s="1"/>
  <c r="AV26" i="1" s="1"/>
  <c r="AS29" i="1"/>
  <c r="AU29" i="1" s="1"/>
  <c r="AV29" i="1" s="1"/>
  <c r="AT14" i="1"/>
  <c r="AT17" i="1"/>
  <c r="AT20" i="1"/>
  <c r="AU20" i="1" s="1"/>
  <c r="AV20" i="1" s="1"/>
  <c r="AT23" i="1"/>
  <c r="AT26" i="1"/>
  <c r="AT29" i="1"/>
  <c r="AU18" i="1" l="1"/>
  <c r="AV18" i="1" s="1"/>
  <c r="AU28" i="1"/>
  <c r="AV28" i="1" s="1"/>
  <c r="AV13" i="1"/>
  <c r="C44" i="1" l="1"/>
  <c r="C42" i="1"/>
  <c r="C43" i="1"/>
</calcChain>
</file>

<file path=xl/sharedStrings.xml><?xml version="1.0" encoding="utf-8"?>
<sst xmlns="http://schemas.openxmlformats.org/spreadsheetml/2006/main" count="77" uniqueCount="77">
  <si>
    <t>शासकीय अभियांत्रिकी महाविद्यालय, कराड.</t>
  </si>
  <si>
    <t>(महाराष्ट्र शासनाची स्वायत्त संस्था)</t>
  </si>
  <si>
    <t>वर्ग :-</t>
  </si>
  <si>
    <t>तृतीय वर्ष बी.टेक. (Third Year B.Tech)</t>
  </si>
  <si>
    <t>प्राध्यापकाचे नांव :-</t>
  </si>
  <si>
    <t>विषय :-</t>
  </si>
  <si>
    <t>Programming Lab - II</t>
  </si>
  <si>
    <t>पद :-</t>
  </si>
  <si>
    <t>Teaching Assistant</t>
  </si>
  <si>
    <t>बॅच :-</t>
  </si>
  <si>
    <t>I1</t>
  </si>
  <si>
    <t>विभागाचे नांव :-</t>
  </si>
  <si>
    <t>Information Technology</t>
  </si>
  <si>
    <t>सत्र :-</t>
  </si>
  <si>
    <t>प्रथम</t>
  </si>
  <si>
    <t>2026-27</t>
  </si>
  <si>
    <t>किमान उपस्थिती :-</t>
  </si>
  <si>
    <t>हजेरी पट
क्र.</t>
  </si>
  <si>
    <t>नोंदणी
क्र.</t>
  </si>
  <si>
    <t>नांव</t>
  </si>
  <si>
    <t>स्थिती
(सुट्टी)</t>
  </si>
  <si>
    <t>एकूण
उपस्थिती</t>
  </si>
  <si>
    <t>एकूण
तासिका</t>
  </si>
  <si>
    <t>टक्केवारी
%</t>
  </si>
  <si>
    <t>शेरा</t>
  </si>
  <si>
    <t>सुट्टीचे
नांव</t>
  </si>
  <si>
    <t>दिनांक</t>
  </si>
  <si>
    <t>तासिका
क्र.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</si>
  <si>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</si>
  <si>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</si>
  <si>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</si>
  <si>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</si>
  <si>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</si>
  <si>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</si>
  <si>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</si>
  <si>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</si>
  <si>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</si>
  <si>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१०</t>
  </si>
  <si>
    <t>११</t>
  </si>
  <si>
    <t>१२</t>
  </si>
  <si>
    <t>१३</t>
  </si>
  <si>
    <t>१४</t>
  </si>
  <si>
    <t>१५</t>
  </si>
  <si>
    <t>१६</t>
  </si>
  <si>
    <t>१७</t>
  </si>
  <si>
    <t>१८</t>
  </si>
  <si>
    <t>१९</t>
  </si>
  <si>
    <t>२०</t>
  </si>
  <si>
    <t>२१</t>
  </si>
  <si>
    <t>२२</t>
  </si>
  <si>
    <t>२३</t>
  </si>
  <si>
    <t>२४</t>
  </si>
  <si>
    <t>२५</t>
  </si>
  <si>
    <t>२६</t>
  </si>
  <si>
    <t>२७</t>
  </si>
  <si>
    <t>२८</t>
  </si>
  <si>
    <t>२९</t>
  </si>
  <si>
    <t>३०</t>
  </si>
  <si>
    <t>३१</t>
  </si>
  <si>
    <t>३२</t>
  </si>
  <si>
    <t>३३</t>
  </si>
  <si>
    <t>३४</t>
  </si>
  <si>
    <t>३५</t>
  </si>
  <si>
    <t>३६</t>
  </si>
  <si>
    <t>३७</t>
  </si>
  <si>
    <t>३८</t>
  </si>
  <si>
    <t>३९</t>
  </si>
  <si>
    <t>४०</t>
  </si>
  <si>
    <t>उपस्थित विद्यार्थी संख्या / नोंद</t>
  </si>
  <si>
    <r>
      <rPr>
        <sz val="11"/>
        <color theme="1"/>
        <rFont val="FreeSans"/>
        <family val="2"/>
      </rPr>
      <t xml:space="preserve">गणना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FreeSans"/>
        <family val="2"/>
      </rPr>
      <t>लपवलेली रांग</t>
    </r>
    <r>
      <rPr>
        <sz val="11"/>
        <color theme="1"/>
        <rFont val="Calibri"/>
        <family val="2"/>
        <scheme val="minor"/>
      </rPr>
      <t>)</t>
    </r>
  </si>
  <si>
    <t>एकूण विद्यार्थी</t>
  </si>
  <si>
    <t>घेतलेल्या तासिका</t>
  </si>
  <si>
    <t>सुट्टीचे दिवस</t>
  </si>
  <si>
    <t>पात्र विद्यार्थी</t>
  </si>
  <si>
    <t>कमी उपस्थिती</t>
  </si>
  <si>
    <t>प्राध्यापकाची सही</t>
  </si>
  <si>
    <t>सरासरी उपस्थिती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</si>
</sst>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%"/>
  </numFmts>
  <fonts count="15">
    <font>
      <sz val="11"/>
      <color theme="1"/>
      <name val="Calibri"/>
      <family val="2"/>
      <scheme val="minor"/>
    </font>
    <font>
      <b/>
      <sz val="20"/>
      <color rgb="FF000000"/>
      <name val="Nirmala UI"/>
      <charset val="1"/>
    </font>
    <font>
      <sz val="11"/>
      <color rgb="FF000000"/>
      <name val="Nirmala UI"/>
      <charset val="1"/>
    </font>
    <font>
      <b/>
      <sz val="12"/>
      <color rgb="FF000000"/>
      <name val="Nirmala UI"/>
      <charset val="1"/>
    </font>
    <font>
      <b/>
      <sz val="10"/>
      <color rgb="FF000000"/>
      <name val="Nirmala UI"/>
      <charset val="1"/>
    </font>
    <font>
      <sz val="10"/>
      <color rgb="FF0000FF"/>
      <name val="Nirmala UI"/>
      <charset val="1"/>
    </font>
    <font>
      <b/>
      <sz val="11"/>
      <color rgb="FF000000"/>
      <name val="Nirmala UI"/>
      <charset val="1"/>
    </font>
    <font>
      <b/>
      <sz val="9"/>
      <color rgb="FF000000"/>
      <name val="Nirmala UI"/>
      <charset val="1"/>
    </font>
    <font>
      <b/>
      <sz val="8"/>
      <color rgb="FF000000"/>
      <name val="Nirmala UI"/>
      <charset val="1"/>
    </font>
    <font>
      <b/>
      <sz val="7"/>
      <color rgb="FFC00000"/>
      <name val="Nirmala UI"/>
      <charset val="1"/>
    </font>
    <font>
      <b/>
      <sz val="8"/>
      <color rgb="FFC00000"/>
      <name val="Nirmala UI"/>
      <charset val="1"/>
    </font>
    <font>
      <sz val="8"/>
      <color rgb="FF0000FF"/>
      <name val="Nirmala UI"/>
      <charset val="1"/>
    </font>
    <font>
      <sz val="9"/>
      <color rgb="FF000000"/>
      <name val="Nirmala UI"/>
      <charset val="1"/>
    </font>
    <font>
      <sz val="11"/>
      <color theme="1"/>
      <name val="FreeSans"/>
      <family val="2"/>
    </font>
    <font>
      <i/>
      <sz val="8"/>
      <color rgb="FF595959"/>
      <name val="Nirmala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AFAFA"/>
      </patternFill>
    </fill>
    <fill>
      <patternFill patternType="solid">
        <fgColor rgb="FFF2F2F2"/>
        <bgColor rgb="FFF7F9FC"/>
      </patternFill>
    </fill>
    <fill>
      <patternFill patternType="solid">
        <fgColor rgb="FFFAFAFA"/>
        <bgColor rgb="FFF7F9F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80808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808080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textRotation="90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textRotation="90" wrapText="1"/>
    </xf>
    <xf numFmtId="0" fontId="10" fillId="2" borderId="5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textRotation="90" wrapText="1"/>
    </xf>
    <xf numFmtId="164" fontId="11" fillId="2" borderId="5" xfId="0" applyNumberFormat="1" applyFont="1" applyFill="1" applyBorder="1" applyAlignment="1">
      <alignment horizontal="center" vertical="center" textRotation="90" wrapText="1"/>
    </xf>
    <xf numFmtId="0" fontId="8" fillId="3" borderId="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0" fillId="4" borderId="4" xfId="0" applyFill="1" applyBorder="1"/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5" fontId="12" fillId="0" borderId="4" xfId="0" applyNumberFormat="1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textRotation="90" wrapText="1"/>
    </xf>
    <xf numFmtId="0" fontId="8" fillId="3" borderId="7" xfId="0" applyFont="1" applyFill="1" applyBorder="1" applyAlignment="1">
      <alignment horizontal="center" vertical="center" textRotation="90" wrapText="1"/>
    </xf>
    <xf numFmtId="0" fontId="0" fillId="3" borderId="6" xfId="0" applyFill="1" applyBorder="1"/>
    <xf numFmtId="0" fontId="13" fillId="0" borderId="0" xfId="0" applyFont="1"/>
    <xf numFmtId="1" fontId="4" fillId="0" borderId="4" xfId="0" applyNumberFormat="1" applyFont="1" applyBorder="1" applyAlignment="1">
      <alignment horizontal="left" vertical="center"/>
    </xf>
    <xf numFmtId="0" fontId="14" fillId="0" borderId="0" xfId="0" applyFont="1"/>
    <xf numFmtId="165" fontId="4" fillId="0" borderId="4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006100"/>
        <name val="Nirmala UI"/>
        <charset val="1"/>
      </font>
      <fill>
        <patternFill>
          <bgColor rgb="FFC6EFCE"/>
        </patternFill>
      </fill>
    </dxf>
    <dxf>
      <font>
        <b/>
        <color rgb="FF9C0006"/>
        <name val="Nirmala UI"/>
        <charset val="1"/>
      </font>
      <fill>
        <patternFill>
          <bgColor rgb="FFFFC7CE"/>
        </patternFill>
      </fill>
    </dxf>
    <dxf>
      <font>
        <b/>
        <color rgb="FF006100"/>
        <name val="Nirmala UI"/>
        <charset val="1"/>
      </font>
    </dxf>
    <dxf>
      <font>
        <b/>
        <color rgb="FF9C0006"/>
        <name val="Nirmala UI"/>
        <charset val="1"/>
      </font>
      <fill>
        <patternFill>
          <bgColor rgb="FFFFC7CE"/>
        </patternFill>
      </fill>
    </dxf>
    <dxf>
      <font>
        <b/>
        <sz val="8"/>
        <color rgb="FF833C0C"/>
        <name val="Nirmala UI"/>
        <charset val="1"/>
      </font>
      <fill>
        <patternFill>
          <bgColor rgb="FFFCE4D6"/>
        </patternFill>
      </fill>
    </dxf>
    <dxf>
      <font>
        <b/>
        <color rgb="FF404040"/>
        <name val="Nirmala UI"/>
        <charset val="1"/>
      </font>
      <fill>
        <patternFill>
          <bgColor rgb="FFD9D9D9"/>
        </patternFill>
      </fill>
    </dxf>
    <dxf>
      <font>
        <b/>
        <color rgb="FF006100"/>
        <name val="Nirmala UI"/>
        <charset val="1"/>
      </font>
      <fill>
        <patternFill>
          <bgColor rgb="FFC6EFCE"/>
        </patternFill>
      </fill>
    </dxf>
    <dxf>
      <fill>
        <patternFill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41E7-E9E0-48CA-AD80-6A71D5C508F6}">
  <dimension ref="A1:AV44"/>
  <sheetViews>
    <sheetView tabSelected="1" topLeftCell="B1" zoomScale="69" workbookViewId="0">
      <selection activeCell="L13" sqref="L13"/>
    </sheetView>
  </sheetViews>
  <sheetFormatPr defaultColWidth="8.6640625" defaultRowHeight="14.4"/>
  <cols>
    <col min="1" max="1" width="7" customWidth="1"/>
    <col min="2" max="2" width="11" customWidth="1"/>
    <col min="3" max="3" width="32" customWidth="1"/>
    <col min="4" max="4" width="8" customWidth="1"/>
    <col min="5" max="44" width="3.88671875" customWidth="1"/>
    <col min="45" max="46" width="8" customWidth="1"/>
    <col min="47" max="47" width="9" customWidth="1"/>
    <col min="48" max="48" width="13" customWidth="1"/>
  </cols>
  <sheetData>
    <row r="1" spans="1:48" ht="29.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</row>
    <row r="2" spans="1:48" ht="16.8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</row>
    <row r="3" spans="1:48" ht="19.2">
      <c r="A3" s="37" t="str">
        <f>"विद्यार्थ्यांचा हजेरीपट  "&amp;IF($B$7="","प्रथम / द्वितीय",$B$7)&amp;" सत्र  "&amp;$C$7</f>
        <v>विद्यार्थ्यांचा हजेरीपट  प्रथम सत्र  2026-27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</row>
    <row r="4" spans="1:48" ht="15">
      <c r="A4" s="1" t="s">
        <v>2</v>
      </c>
      <c r="B4" s="33" t="s">
        <v>3</v>
      </c>
      <c r="C4" s="33"/>
      <c r="U4" s="31" t="s">
        <v>4</v>
      </c>
      <c r="V4" s="31"/>
      <c r="W4" s="31"/>
      <c r="X4" s="31"/>
      <c r="Y4" s="31"/>
      <c r="Z4" s="31"/>
      <c r="AA4" s="31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</row>
    <row r="5" spans="1:48" ht="15">
      <c r="A5" s="1" t="s">
        <v>5</v>
      </c>
      <c r="B5" s="33" t="s">
        <v>6</v>
      </c>
      <c r="C5" s="33"/>
      <c r="U5" s="31" t="s">
        <v>7</v>
      </c>
      <c r="V5" s="31"/>
      <c r="W5" s="31"/>
      <c r="X5" s="31"/>
      <c r="Y5" s="31"/>
      <c r="Z5" s="31"/>
      <c r="AA5" s="31"/>
      <c r="AB5" s="33" t="s">
        <v>8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</row>
    <row r="6" spans="1:48" ht="16.8">
      <c r="A6" s="1" t="s">
        <v>9</v>
      </c>
      <c r="B6" s="34" t="s">
        <v>10</v>
      </c>
      <c r="C6" s="34"/>
      <c r="U6" s="31" t="s">
        <v>11</v>
      </c>
      <c r="V6" s="31"/>
      <c r="W6" s="31"/>
      <c r="X6" s="31"/>
      <c r="Y6" s="31"/>
      <c r="Z6" s="31"/>
      <c r="AA6" s="31"/>
      <c r="AB6" s="33" t="s">
        <v>12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</row>
    <row r="7" spans="1:48" ht="15">
      <c r="A7" s="1" t="s">
        <v>13</v>
      </c>
      <c r="B7" s="2" t="s">
        <v>14</v>
      </c>
      <c r="C7" s="2" t="s">
        <v>15</v>
      </c>
      <c r="U7" s="31" t="s">
        <v>16</v>
      </c>
      <c r="V7" s="31"/>
      <c r="W7" s="31"/>
      <c r="X7" s="31"/>
      <c r="Y7" s="31"/>
      <c r="Z7" s="31"/>
      <c r="AA7" s="31"/>
      <c r="AB7" s="32"/>
      <c r="AC7" s="32"/>
      <c r="AD7" s="32"/>
      <c r="AE7" s="32"/>
    </row>
    <row r="8" spans="1:48" ht="6" customHeight="1" thickBot="1"/>
    <row r="9" spans="1:48" ht="23.4" thickBot="1">
      <c r="A9" s="29" t="s">
        <v>17</v>
      </c>
      <c r="B9" s="29" t="s">
        <v>18</v>
      </c>
      <c r="C9" s="29" t="s">
        <v>19</v>
      </c>
      <c r="D9" s="3" t="s">
        <v>20</v>
      </c>
      <c r="E9" s="4"/>
      <c r="F9" s="4"/>
      <c r="G9" s="4"/>
      <c r="H9" s="4"/>
      <c r="I9" s="5"/>
      <c r="J9" s="4"/>
      <c r="K9" s="4"/>
      <c r="L9" s="4"/>
      <c r="M9" s="4"/>
      <c r="N9" s="5"/>
      <c r="O9" s="4"/>
      <c r="P9" s="4"/>
      <c r="Q9" s="4"/>
      <c r="R9" s="4"/>
      <c r="S9" s="5"/>
      <c r="T9" s="4"/>
      <c r="U9" s="4"/>
      <c r="V9" s="4"/>
      <c r="W9" s="4"/>
      <c r="X9" s="5"/>
      <c r="Y9" s="4"/>
      <c r="Z9" s="4"/>
      <c r="AA9" s="4"/>
      <c r="AB9" s="4"/>
      <c r="AC9" s="5"/>
      <c r="AD9" s="4"/>
      <c r="AE9" s="4"/>
      <c r="AF9" s="4"/>
      <c r="AG9" s="4"/>
      <c r="AH9" s="5"/>
      <c r="AI9" s="4"/>
      <c r="AJ9" s="4"/>
      <c r="AK9" s="4"/>
      <c r="AL9" s="4"/>
      <c r="AM9" s="5"/>
      <c r="AN9" s="4"/>
      <c r="AO9" s="4"/>
      <c r="AP9" s="4"/>
      <c r="AQ9" s="4"/>
      <c r="AR9" s="5"/>
      <c r="AS9" s="29" t="s">
        <v>21</v>
      </c>
      <c r="AT9" s="29" t="s">
        <v>22</v>
      </c>
      <c r="AU9" s="29" t="s">
        <v>23</v>
      </c>
      <c r="AV9" s="29" t="s">
        <v>24</v>
      </c>
    </row>
    <row r="10" spans="1:48" ht="23.4" thickBot="1">
      <c r="A10" s="29"/>
      <c r="B10" s="29"/>
      <c r="C10" s="29"/>
      <c r="D10" s="6" t="s">
        <v>25</v>
      </c>
      <c r="E10" s="7"/>
      <c r="F10" s="7"/>
      <c r="G10" s="7"/>
      <c r="H10" s="7"/>
      <c r="I10" s="8"/>
      <c r="J10" s="7"/>
      <c r="K10" s="7"/>
      <c r="L10" s="7"/>
      <c r="M10" s="7"/>
      <c r="N10" s="8"/>
      <c r="O10" s="7"/>
      <c r="P10" s="7"/>
      <c r="Q10" s="7"/>
      <c r="R10" s="7"/>
      <c r="S10" s="8"/>
      <c r="T10" s="7"/>
      <c r="U10" s="7"/>
      <c r="V10" s="7"/>
      <c r="W10" s="7"/>
      <c r="X10" s="8"/>
      <c r="Y10" s="7"/>
      <c r="Z10" s="7"/>
      <c r="AA10" s="7"/>
      <c r="AB10" s="7"/>
      <c r="AC10" s="8"/>
      <c r="AD10" s="7"/>
      <c r="AE10" s="7"/>
      <c r="AF10" s="7"/>
      <c r="AG10" s="7"/>
      <c r="AH10" s="8"/>
      <c r="AI10" s="7"/>
      <c r="AJ10" s="7"/>
      <c r="AK10" s="7"/>
      <c r="AL10" s="7"/>
      <c r="AM10" s="8"/>
      <c r="AN10" s="7"/>
      <c r="AO10" s="7"/>
      <c r="AP10" s="7"/>
      <c r="AQ10" s="7"/>
      <c r="AR10" s="8"/>
      <c r="AS10" s="29"/>
      <c r="AT10" s="29"/>
      <c r="AU10" s="29"/>
      <c r="AV10" s="29"/>
    </row>
    <row r="11" spans="1:48" ht="38.4" customHeight="1" thickBot="1">
      <c r="A11" s="29"/>
      <c r="B11" s="29"/>
      <c r="C11" s="29"/>
      <c r="D11" s="9" t="s">
        <v>26</v>
      </c>
      <c r="E11" s="10"/>
      <c r="F11" s="10"/>
      <c r="G11" s="10"/>
      <c r="H11" s="10"/>
      <c r="I11" s="11"/>
      <c r="J11" s="10"/>
      <c r="K11" s="10"/>
      <c r="L11" s="10"/>
      <c r="M11" s="10"/>
      <c r="N11" s="11"/>
      <c r="O11" s="10"/>
      <c r="P11" s="10"/>
      <c r="Q11" s="10"/>
      <c r="R11" s="10"/>
      <c r="S11" s="11"/>
      <c r="T11" s="10"/>
      <c r="U11" s="10"/>
      <c r="V11" s="10"/>
      <c r="W11" s="10"/>
      <c r="X11" s="11"/>
      <c r="Y11" s="10"/>
      <c r="Z11" s="10"/>
      <c r="AA11" s="10"/>
      <c r="AB11" s="10"/>
      <c r="AC11" s="11"/>
      <c r="AD11" s="10"/>
      <c r="AE11" s="10"/>
      <c r="AF11" s="10"/>
      <c r="AG11" s="10"/>
      <c r="AH11" s="11"/>
      <c r="AI11" s="10"/>
      <c r="AJ11" s="10"/>
      <c r="AK11" s="10"/>
      <c r="AL11" s="10"/>
      <c r="AM11" s="11"/>
      <c r="AN11" s="10"/>
      <c r="AO11" s="10"/>
      <c r="AP11" s="10"/>
      <c r="AQ11" s="10"/>
      <c r="AR11" s="11"/>
      <c r="AS11" s="29"/>
      <c r="AT11" s="29"/>
      <c r="AU11" s="29"/>
      <c r="AV11" s="29"/>
    </row>
    <row r="12" spans="1:48" ht="22.8">
      <c r="A12" s="29"/>
      <c r="B12" s="29"/>
      <c r="C12" s="29"/>
      <c r="D12" s="6" t="s">
        <v>27</v>
      </c>
      <c r="E12" s="6" t="s">
        <v>28</v>
      </c>
      <c r="F12" s="6" t="s">
        <v>29</v>
      </c>
      <c r="G12" s="6" t="s">
        <v>30</v>
      </c>
      <c r="H12" s="6" t="s">
        <v>31</v>
      </c>
      <c r="I12" s="12" t="s">
        <v>32</v>
      </c>
      <c r="J12" s="6" t="s">
        <v>33</v>
      </c>
      <c r="K12" s="6" t="s">
        <v>34</v>
      </c>
      <c r="L12" s="6" t="s">
        <v>35</v>
      </c>
      <c r="M12" s="6" t="s">
        <v>36</v>
      </c>
      <c r="N12" s="12" t="s">
        <v>37</v>
      </c>
      <c r="O12" s="6" t="s">
        <v>38</v>
      </c>
      <c r="P12" s="6" t="s">
        <v>39</v>
      </c>
      <c r="Q12" s="6" t="s">
        <v>40</v>
      </c>
      <c r="R12" s="6" t="s">
        <v>41</v>
      </c>
      <c r="S12" s="12" t="s">
        <v>42</v>
      </c>
      <c r="T12" s="6" t="s">
        <v>43</v>
      </c>
      <c r="U12" s="6" t="s">
        <v>44</v>
      </c>
      <c r="V12" s="6" t="s">
        <v>45</v>
      </c>
      <c r="W12" s="6" t="s">
        <v>46</v>
      </c>
      <c r="X12" s="12" t="s">
        <v>47</v>
      </c>
      <c r="Y12" s="6" t="s">
        <v>48</v>
      </c>
      <c r="Z12" s="6" t="s">
        <v>49</v>
      </c>
      <c r="AA12" s="6" t="s">
        <v>50</v>
      </c>
      <c r="AB12" s="6" t="s">
        <v>51</v>
      </c>
      <c r="AC12" s="12" t="s">
        <v>52</v>
      </c>
      <c r="AD12" s="6" t="s">
        <v>53</v>
      </c>
      <c r="AE12" s="6" t="s">
        <v>54</v>
      </c>
      <c r="AF12" s="6" t="s">
        <v>55</v>
      </c>
      <c r="AG12" s="6" t="s">
        <v>56</v>
      </c>
      <c r="AH12" s="12" t="s">
        <v>57</v>
      </c>
      <c r="AI12" s="6" t="s">
        <v>58</v>
      </c>
      <c r="AJ12" s="6" t="s">
        <v>59</v>
      </c>
      <c r="AK12" s="6" t="s">
        <v>60</v>
      </c>
      <c r="AL12" s="6" t="s">
        <v>61</v>
      </c>
      <c r="AM12" s="12" t="s">
        <v>62</v>
      </c>
      <c r="AN12" s="6" t="s">
        <v>63</v>
      </c>
      <c r="AO12" s="6" t="s">
        <v>64</v>
      </c>
      <c r="AP12" s="6" t="s">
        <v>65</v>
      </c>
      <c r="AQ12" s="6" t="s">
        <v>66</v>
      </c>
      <c r="AR12" s="12" t="s">
        <v>67</v>
      </c>
      <c r="AS12" s="29"/>
      <c r="AT12" s="29"/>
      <c r="AU12" s="29"/>
      <c r="AV12" s="29"/>
    </row>
    <row r="13" spans="1:48">
      <c r="A13" s="13">
        <v>1</v>
      </c>
      <c r="B13" s="13"/>
      <c r="C13" s="14"/>
      <c r="D13" s="15"/>
      <c r="E13" s="16"/>
      <c r="F13" s="16"/>
      <c r="G13" s="16"/>
      <c r="H13" s="16"/>
      <c r="I13" s="17"/>
      <c r="J13" s="16"/>
      <c r="K13" s="16"/>
      <c r="L13" s="16"/>
      <c r="M13" s="16"/>
      <c r="N13" s="17"/>
      <c r="O13" s="16"/>
      <c r="P13" s="16"/>
      <c r="Q13" s="16"/>
      <c r="R13" s="16"/>
      <c r="S13" s="17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6"/>
      <c r="AE13" s="16"/>
      <c r="AF13" s="16"/>
      <c r="AG13" s="16"/>
      <c r="AH13" s="17"/>
      <c r="AI13" s="16"/>
      <c r="AJ13" s="16"/>
      <c r="AK13" s="16"/>
      <c r="AL13" s="16"/>
      <c r="AM13" s="17"/>
      <c r="AN13" s="16"/>
      <c r="AO13" s="16"/>
      <c r="AP13" s="16"/>
      <c r="AQ13" s="16"/>
      <c r="AR13" s="17"/>
      <c r="AS13" s="18" t="str">
        <f t="shared" ref="AS13:AS35" si="0">IF($C13="","",SUMPRODUCT((E13:AR13="P")*$E$37:$AR$37))</f>
        <v/>
      </c>
      <c r="AT13" s="13" t="str">
        <f t="shared" ref="AT13:AT35" si="1">IF($C13="","",SUM($E$37:$AR$37))</f>
        <v/>
      </c>
      <c r="AU13" s="19" t="str">
        <f t="shared" ref="AU13:AU35" si="2">IF(OR($C13="",SUM($E$37:$AR$37)=0),"",AS13/AT13)</f>
        <v/>
      </c>
      <c r="AV13" s="18" t="str">
        <f t="shared" ref="AV13:AV35" si="3">IF(AU13="","",IF(AU13&gt;=$AB$7,"पात्र","कमी उपस्थिती"))</f>
        <v/>
      </c>
    </row>
    <row r="14" spans="1:48">
      <c r="A14" s="13">
        <v>2</v>
      </c>
      <c r="B14" s="13"/>
      <c r="C14" s="14"/>
      <c r="D14" s="15"/>
      <c r="E14" s="16"/>
      <c r="F14" s="16"/>
      <c r="G14" s="16"/>
      <c r="H14" s="16"/>
      <c r="I14" s="17"/>
      <c r="J14" s="16"/>
      <c r="K14" s="16"/>
      <c r="L14" s="16"/>
      <c r="M14" s="16"/>
      <c r="N14" s="17"/>
      <c r="O14" s="16"/>
      <c r="P14" s="16"/>
      <c r="Q14" s="16"/>
      <c r="R14" s="16"/>
      <c r="S14" s="17"/>
      <c r="T14" s="16"/>
      <c r="U14" s="16"/>
      <c r="V14" s="16"/>
      <c r="W14" s="16"/>
      <c r="X14" s="17"/>
      <c r="Y14" s="16"/>
      <c r="Z14" s="16"/>
      <c r="AA14" s="16"/>
      <c r="AB14" s="16"/>
      <c r="AC14" s="17"/>
      <c r="AD14" s="16"/>
      <c r="AE14" s="16"/>
      <c r="AF14" s="16"/>
      <c r="AG14" s="16"/>
      <c r="AH14" s="17"/>
      <c r="AI14" s="16"/>
      <c r="AJ14" s="16"/>
      <c r="AK14" s="16"/>
      <c r="AL14" s="16"/>
      <c r="AM14" s="17"/>
      <c r="AN14" s="16"/>
      <c r="AO14" s="16"/>
      <c r="AP14" s="16"/>
      <c r="AQ14" s="16"/>
      <c r="AR14" s="17"/>
      <c r="AS14" s="18" t="str">
        <f t="shared" si="0"/>
        <v/>
      </c>
      <c r="AT14" s="13" t="str">
        <f t="shared" si="1"/>
        <v/>
      </c>
      <c r="AU14" s="19" t="str">
        <f t="shared" si="2"/>
        <v/>
      </c>
      <c r="AV14" s="18" t="str">
        <f t="shared" si="3"/>
        <v/>
      </c>
    </row>
    <row r="15" spans="1:48" ht="19.5" customHeight="1">
      <c r="A15" s="13">
        <v>3</v>
      </c>
      <c r="B15" s="13"/>
      <c r="C15" s="14"/>
      <c r="D15" s="15"/>
      <c r="E15" s="16"/>
      <c r="F15" s="16"/>
      <c r="G15" s="16"/>
      <c r="H15" s="16"/>
      <c r="I15" s="17"/>
      <c r="J15" s="16"/>
      <c r="K15" s="16"/>
      <c r="L15" s="16"/>
      <c r="M15" s="16"/>
      <c r="N15" s="17"/>
      <c r="O15" s="16"/>
      <c r="P15" s="16"/>
      <c r="Q15" s="16"/>
      <c r="R15" s="16"/>
      <c r="S15" s="17"/>
      <c r="T15" s="16"/>
      <c r="U15" s="16"/>
      <c r="V15" s="16"/>
      <c r="W15" s="16"/>
      <c r="X15" s="17"/>
      <c r="Y15" s="16"/>
      <c r="Z15" s="16"/>
      <c r="AA15" s="16"/>
      <c r="AB15" s="16"/>
      <c r="AC15" s="17"/>
      <c r="AD15" s="16"/>
      <c r="AE15" s="16"/>
      <c r="AF15" s="16"/>
      <c r="AG15" s="16"/>
      <c r="AH15" s="17"/>
      <c r="AI15" s="16"/>
      <c r="AJ15" s="16"/>
      <c r="AK15" s="16"/>
      <c r="AL15" s="16"/>
      <c r="AM15" s="17"/>
      <c r="AN15" s="16"/>
      <c r="AO15" s="16"/>
      <c r="AP15" s="16"/>
      <c r="AQ15" s="16"/>
      <c r="AR15" s="17"/>
      <c r="AS15" s="18" t="str">
        <f t="shared" si="0"/>
        <v/>
      </c>
      <c r="AT15" s="13" t="str">
        <f t="shared" si="1"/>
        <v/>
      </c>
      <c r="AU15" s="19" t="str">
        <f t="shared" si="2"/>
        <v/>
      </c>
      <c r="AV15" s="18" t="str">
        <f t="shared" si="3"/>
        <v/>
      </c>
    </row>
    <row r="16" spans="1:48">
      <c r="A16" s="13">
        <v>4</v>
      </c>
      <c r="B16" s="13"/>
      <c r="C16" s="14"/>
      <c r="D16" s="15"/>
      <c r="E16" s="16"/>
      <c r="F16" s="16"/>
      <c r="G16" s="16"/>
      <c r="H16" s="16"/>
      <c r="I16" s="17"/>
      <c r="J16" s="16"/>
      <c r="K16" s="16"/>
      <c r="L16" s="16"/>
      <c r="M16" s="16"/>
      <c r="N16" s="17"/>
      <c r="O16" s="16"/>
      <c r="P16" s="16"/>
      <c r="Q16" s="16"/>
      <c r="R16" s="16"/>
      <c r="S16" s="17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6"/>
      <c r="AE16" s="16"/>
      <c r="AF16" s="16"/>
      <c r="AG16" s="16"/>
      <c r="AH16" s="17"/>
      <c r="AI16" s="16"/>
      <c r="AJ16" s="16"/>
      <c r="AK16" s="16"/>
      <c r="AL16" s="16"/>
      <c r="AM16" s="17"/>
      <c r="AN16" s="16"/>
      <c r="AO16" s="16"/>
      <c r="AP16" s="16"/>
      <c r="AQ16" s="16"/>
      <c r="AR16" s="17"/>
      <c r="AS16" s="18" t="str">
        <f t="shared" si="0"/>
        <v/>
      </c>
      <c r="AT16" s="13" t="str">
        <f t="shared" si="1"/>
        <v/>
      </c>
      <c r="AU16" s="19" t="str">
        <f t="shared" si="2"/>
        <v/>
      </c>
      <c r="AV16" s="18" t="str">
        <f t="shared" si="3"/>
        <v/>
      </c>
    </row>
    <row r="17" spans="1:48">
      <c r="A17" s="13">
        <v>5</v>
      </c>
      <c r="B17" s="13"/>
      <c r="C17" s="14"/>
      <c r="D17" s="15"/>
      <c r="E17" s="16"/>
      <c r="F17" s="16"/>
      <c r="G17" s="16"/>
      <c r="H17" s="16"/>
      <c r="I17" s="17"/>
      <c r="J17" s="16"/>
      <c r="K17" s="16"/>
      <c r="L17" s="16"/>
      <c r="M17" s="16"/>
      <c r="N17" s="17"/>
      <c r="O17" s="16"/>
      <c r="P17" s="16"/>
      <c r="Q17" s="16"/>
      <c r="R17" s="16"/>
      <c r="S17" s="17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6"/>
      <c r="AE17" s="16"/>
      <c r="AF17" s="16"/>
      <c r="AG17" s="16"/>
      <c r="AH17" s="17"/>
      <c r="AI17" s="16"/>
      <c r="AJ17" s="16"/>
      <c r="AK17" s="16"/>
      <c r="AL17" s="16"/>
      <c r="AM17" s="17"/>
      <c r="AN17" s="16"/>
      <c r="AO17" s="16"/>
      <c r="AP17" s="16"/>
      <c r="AQ17" s="16"/>
      <c r="AR17" s="17"/>
      <c r="AS17" s="18" t="str">
        <f t="shared" si="0"/>
        <v/>
      </c>
      <c r="AT17" s="13" t="str">
        <f t="shared" si="1"/>
        <v/>
      </c>
      <c r="AU17" s="19" t="str">
        <f t="shared" si="2"/>
        <v/>
      </c>
      <c r="AV17" s="18" t="str">
        <f t="shared" si="3"/>
        <v/>
      </c>
    </row>
    <row r="18" spans="1:48">
      <c r="A18" s="13">
        <v>6</v>
      </c>
      <c r="B18" s="13"/>
      <c r="C18" s="14"/>
      <c r="D18" s="15"/>
      <c r="E18" s="16"/>
      <c r="F18" s="16"/>
      <c r="G18" s="16"/>
      <c r="H18" s="16"/>
      <c r="I18" s="17"/>
      <c r="J18" s="16"/>
      <c r="K18" s="16"/>
      <c r="L18" s="16"/>
      <c r="M18" s="16"/>
      <c r="N18" s="17"/>
      <c r="O18" s="16"/>
      <c r="P18" s="16"/>
      <c r="Q18" s="16"/>
      <c r="R18" s="16"/>
      <c r="S18" s="17"/>
      <c r="T18" s="16"/>
      <c r="U18" s="16"/>
      <c r="V18" s="16"/>
      <c r="W18" s="16"/>
      <c r="X18" s="17"/>
      <c r="Y18" s="16"/>
      <c r="Z18" s="16"/>
      <c r="AA18" s="16"/>
      <c r="AB18" s="16"/>
      <c r="AC18" s="17"/>
      <c r="AD18" s="16"/>
      <c r="AE18" s="16"/>
      <c r="AF18" s="16"/>
      <c r="AG18" s="16"/>
      <c r="AH18" s="17"/>
      <c r="AI18" s="16"/>
      <c r="AJ18" s="16"/>
      <c r="AK18" s="16"/>
      <c r="AL18" s="16"/>
      <c r="AM18" s="17"/>
      <c r="AN18" s="16"/>
      <c r="AO18" s="16"/>
      <c r="AP18" s="16"/>
      <c r="AQ18" s="16"/>
      <c r="AR18" s="17"/>
      <c r="AS18" s="18" t="str">
        <f t="shared" si="0"/>
        <v/>
      </c>
      <c r="AT18" s="13" t="str">
        <f t="shared" si="1"/>
        <v/>
      </c>
      <c r="AU18" s="19" t="str">
        <f t="shared" si="2"/>
        <v/>
      </c>
      <c r="AV18" s="18" t="str">
        <f t="shared" si="3"/>
        <v/>
      </c>
    </row>
    <row r="19" spans="1:48">
      <c r="A19" s="13">
        <v>7</v>
      </c>
      <c r="B19" s="13"/>
      <c r="C19" s="14"/>
      <c r="D19" s="15"/>
      <c r="E19" s="16"/>
      <c r="F19" s="16"/>
      <c r="G19" s="16"/>
      <c r="H19" s="16"/>
      <c r="I19" s="17"/>
      <c r="J19" s="16"/>
      <c r="K19" s="16"/>
      <c r="L19" s="16"/>
      <c r="M19" s="16"/>
      <c r="N19" s="17"/>
      <c r="O19" s="16"/>
      <c r="P19" s="16"/>
      <c r="Q19" s="16"/>
      <c r="R19" s="16"/>
      <c r="S19" s="17"/>
      <c r="T19" s="16"/>
      <c r="U19" s="16"/>
      <c r="V19" s="16"/>
      <c r="W19" s="16"/>
      <c r="X19" s="17"/>
      <c r="Y19" s="16"/>
      <c r="Z19" s="16"/>
      <c r="AA19" s="16"/>
      <c r="AB19" s="16"/>
      <c r="AC19" s="17"/>
      <c r="AD19" s="16"/>
      <c r="AE19" s="16"/>
      <c r="AF19" s="16"/>
      <c r="AG19" s="16"/>
      <c r="AH19" s="17"/>
      <c r="AI19" s="16"/>
      <c r="AJ19" s="16"/>
      <c r="AK19" s="16"/>
      <c r="AL19" s="16"/>
      <c r="AM19" s="17"/>
      <c r="AN19" s="16"/>
      <c r="AO19" s="16"/>
      <c r="AP19" s="16"/>
      <c r="AQ19" s="16"/>
      <c r="AR19" s="17"/>
      <c r="AS19" s="18" t="str">
        <f t="shared" si="0"/>
        <v/>
      </c>
      <c r="AT19" s="13" t="str">
        <f t="shared" si="1"/>
        <v/>
      </c>
      <c r="AU19" s="19" t="str">
        <f t="shared" si="2"/>
        <v/>
      </c>
      <c r="AV19" s="18" t="str">
        <f t="shared" si="3"/>
        <v/>
      </c>
    </row>
    <row r="20" spans="1:48">
      <c r="A20" s="13">
        <v>8</v>
      </c>
      <c r="B20" s="13"/>
      <c r="C20" s="14"/>
      <c r="D20" s="15"/>
      <c r="E20" s="16"/>
      <c r="F20" s="16"/>
      <c r="G20" s="16"/>
      <c r="H20" s="16"/>
      <c r="I20" s="17"/>
      <c r="J20" s="16"/>
      <c r="K20" s="16"/>
      <c r="L20" s="16"/>
      <c r="M20" s="16"/>
      <c r="N20" s="17"/>
      <c r="O20" s="16"/>
      <c r="P20" s="16"/>
      <c r="Q20" s="16"/>
      <c r="R20" s="16"/>
      <c r="S20" s="17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6"/>
      <c r="AE20" s="16"/>
      <c r="AF20" s="16"/>
      <c r="AG20" s="16"/>
      <c r="AH20" s="17"/>
      <c r="AI20" s="16"/>
      <c r="AJ20" s="16"/>
      <c r="AK20" s="16"/>
      <c r="AL20" s="16"/>
      <c r="AM20" s="17"/>
      <c r="AN20" s="16"/>
      <c r="AO20" s="16"/>
      <c r="AP20" s="16"/>
      <c r="AQ20" s="16"/>
      <c r="AR20" s="17"/>
      <c r="AS20" s="18" t="str">
        <f t="shared" si="0"/>
        <v/>
      </c>
      <c r="AT20" s="13" t="str">
        <f t="shared" si="1"/>
        <v/>
      </c>
      <c r="AU20" s="19" t="str">
        <f t="shared" si="2"/>
        <v/>
      </c>
      <c r="AV20" s="18" t="str">
        <f t="shared" si="3"/>
        <v/>
      </c>
    </row>
    <row r="21" spans="1:48" ht="19.5" customHeight="1">
      <c r="A21" s="13">
        <v>9</v>
      </c>
      <c r="B21" s="13"/>
      <c r="C21" s="14"/>
      <c r="D21" s="15"/>
      <c r="E21" s="16"/>
      <c r="F21" s="16"/>
      <c r="G21" s="16"/>
      <c r="H21" s="16"/>
      <c r="I21" s="17"/>
      <c r="J21" s="16"/>
      <c r="K21" s="16"/>
      <c r="L21" s="16"/>
      <c r="M21" s="16"/>
      <c r="N21" s="17"/>
      <c r="O21" s="16"/>
      <c r="P21" s="16"/>
      <c r="Q21" s="16"/>
      <c r="R21" s="16"/>
      <c r="S21" s="17"/>
      <c r="T21" s="16"/>
      <c r="U21" s="16"/>
      <c r="V21" s="16"/>
      <c r="W21" s="16"/>
      <c r="X21" s="17"/>
      <c r="Y21" s="16"/>
      <c r="Z21" s="16"/>
      <c r="AA21" s="16"/>
      <c r="AB21" s="16"/>
      <c r="AC21" s="17"/>
      <c r="AD21" s="16"/>
      <c r="AE21" s="16"/>
      <c r="AF21" s="16"/>
      <c r="AG21" s="16"/>
      <c r="AH21" s="17"/>
      <c r="AI21" s="16"/>
      <c r="AJ21" s="16"/>
      <c r="AK21" s="16"/>
      <c r="AL21" s="16"/>
      <c r="AM21" s="17"/>
      <c r="AN21" s="16"/>
      <c r="AO21" s="16"/>
      <c r="AP21" s="16"/>
      <c r="AQ21" s="16"/>
      <c r="AR21" s="17"/>
      <c r="AS21" s="18" t="str">
        <f t="shared" si="0"/>
        <v/>
      </c>
      <c r="AT21" s="13" t="str">
        <f t="shared" si="1"/>
        <v/>
      </c>
      <c r="AU21" s="19" t="str">
        <f t="shared" si="2"/>
        <v/>
      </c>
      <c r="AV21" s="18" t="str">
        <f t="shared" si="3"/>
        <v/>
      </c>
    </row>
    <row r="22" spans="1:48">
      <c r="A22" s="13">
        <v>10</v>
      </c>
      <c r="B22" s="13"/>
      <c r="C22" s="14"/>
      <c r="D22" s="15"/>
      <c r="E22" s="16"/>
      <c r="F22" s="16"/>
      <c r="G22" s="16"/>
      <c r="H22" s="16"/>
      <c r="I22" s="17"/>
      <c r="J22" s="16"/>
      <c r="K22" s="16"/>
      <c r="L22" s="16"/>
      <c r="M22" s="16"/>
      <c r="N22" s="17"/>
      <c r="O22" s="16"/>
      <c r="P22" s="16"/>
      <c r="Q22" s="16"/>
      <c r="R22" s="16"/>
      <c r="S22" s="17"/>
      <c r="T22" s="16"/>
      <c r="U22" s="16"/>
      <c r="V22" s="16"/>
      <c r="W22" s="16"/>
      <c r="X22" s="17"/>
      <c r="Y22" s="16"/>
      <c r="Z22" s="16"/>
      <c r="AA22" s="16"/>
      <c r="AB22" s="16"/>
      <c r="AC22" s="17"/>
      <c r="AD22" s="16"/>
      <c r="AE22" s="16"/>
      <c r="AF22" s="16"/>
      <c r="AG22" s="16"/>
      <c r="AH22" s="17"/>
      <c r="AI22" s="16"/>
      <c r="AJ22" s="16"/>
      <c r="AK22" s="16"/>
      <c r="AL22" s="16"/>
      <c r="AM22" s="17"/>
      <c r="AN22" s="16"/>
      <c r="AO22" s="16"/>
      <c r="AP22" s="16"/>
      <c r="AQ22" s="16"/>
      <c r="AR22" s="17"/>
      <c r="AS22" s="18" t="str">
        <f t="shared" si="0"/>
        <v/>
      </c>
      <c r="AT22" s="13" t="str">
        <f t="shared" si="1"/>
        <v/>
      </c>
      <c r="AU22" s="19" t="str">
        <f t="shared" si="2"/>
        <v/>
      </c>
      <c r="AV22" s="18" t="str">
        <f t="shared" si="3"/>
        <v/>
      </c>
    </row>
    <row r="23" spans="1:48" ht="19.5" customHeight="1">
      <c r="A23" s="13">
        <v>11</v>
      </c>
      <c r="B23" s="13"/>
      <c r="C23" s="14"/>
      <c r="D23" s="15"/>
      <c r="E23" s="16"/>
      <c r="F23" s="16"/>
      <c r="G23" s="16"/>
      <c r="H23" s="16"/>
      <c r="I23" s="17"/>
      <c r="J23" s="16"/>
      <c r="K23" s="16"/>
      <c r="L23" s="16"/>
      <c r="M23" s="16"/>
      <c r="N23" s="17"/>
      <c r="O23" s="16"/>
      <c r="P23" s="16"/>
      <c r="Q23" s="16"/>
      <c r="R23" s="16"/>
      <c r="S23" s="17"/>
      <c r="T23" s="16"/>
      <c r="U23" s="16"/>
      <c r="V23" s="16"/>
      <c r="W23" s="16"/>
      <c r="X23" s="17"/>
      <c r="Y23" s="16"/>
      <c r="Z23" s="16"/>
      <c r="AA23" s="16"/>
      <c r="AB23" s="16"/>
      <c r="AC23" s="17"/>
      <c r="AD23" s="16"/>
      <c r="AE23" s="16"/>
      <c r="AF23" s="16"/>
      <c r="AG23" s="16"/>
      <c r="AH23" s="17"/>
      <c r="AI23" s="16"/>
      <c r="AJ23" s="16"/>
      <c r="AK23" s="16"/>
      <c r="AL23" s="16"/>
      <c r="AM23" s="17"/>
      <c r="AN23" s="16"/>
      <c r="AO23" s="16"/>
      <c r="AP23" s="16"/>
      <c r="AQ23" s="16"/>
      <c r="AR23" s="17"/>
      <c r="AS23" s="18" t="str">
        <f t="shared" si="0"/>
        <v/>
      </c>
      <c r="AT23" s="13" t="str">
        <f t="shared" si="1"/>
        <v/>
      </c>
      <c r="AU23" s="19" t="str">
        <f t="shared" si="2"/>
        <v/>
      </c>
      <c r="AV23" s="18" t="str">
        <f t="shared" si="3"/>
        <v/>
      </c>
    </row>
    <row r="24" spans="1:48" ht="19.5" customHeight="1">
      <c r="A24" s="13">
        <v>12</v>
      </c>
      <c r="B24" s="13"/>
      <c r="C24" s="14"/>
      <c r="D24" s="15"/>
      <c r="E24" s="16"/>
      <c r="F24" s="16"/>
      <c r="G24" s="16"/>
      <c r="H24" s="16"/>
      <c r="I24" s="17"/>
      <c r="J24" s="16"/>
      <c r="K24" s="16"/>
      <c r="L24" s="16"/>
      <c r="M24" s="16"/>
      <c r="N24" s="17"/>
      <c r="O24" s="16"/>
      <c r="P24" s="16"/>
      <c r="Q24" s="16"/>
      <c r="R24" s="16"/>
      <c r="S24" s="17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6"/>
      <c r="AE24" s="16"/>
      <c r="AF24" s="16"/>
      <c r="AG24" s="16"/>
      <c r="AH24" s="17"/>
      <c r="AI24" s="16"/>
      <c r="AJ24" s="16"/>
      <c r="AK24" s="16"/>
      <c r="AL24" s="16"/>
      <c r="AM24" s="17"/>
      <c r="AN24" s="16"/>
      <c r="AO24" s="16"/>
      <c r="AP24" s="16"/>
      <c r="AQ24" s="16"/>
      <c r="AR24" s="17"/>
      <c r="AS24" s="18" t="str">
        <f t="shared" si="0"/>
        <v/>
      </c>
      <c r="AT24" s="13" t="str">
        <f t="shared" si="1"/>
        <v/>
      </c>
      <c r="AU24" s="19" t="str">
        <f t="shared" si="2"/>
        <v/>
      </c>
      <c r="AV24" s="18" t="str">
        <f t="shared" si="3"/>
        <v/>
      </c>
    </row>
    <row r="25" spans="1:48">
      <c r="A25" s="13">
        <v>13</v>
      </c>
      <c r="B25" s="13"/>
      <c r="C25" s="14"/>
      <c r="D25" s="15"/>
      <c r="E25" s="16"/>
      <c r="F25" s="16"/>
      <c r="G25" s="16"/>
      <c r="H25" s="16"/>
      <c r="I25" s="17"/>
      <c r="J25" s="16"/>
      <c r="K25" s="16"/>
      <c r="L25" s="16"/>
      <c r="M25" s="16"/>
      <c r="N25" s="17"/>
      <c r="O25" s="16"/>
      <c r="P25" s="16"/>
      <c r="Q25" s="16"/>
      <c r="R25" s="16"/>
      <c r="S25" s="17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6"/>
      <c r="AE25" s="16"/>
      <c r="AF25" s="16"/>
      <c r="AG25" s="16"/>
      <c r="AH25" s="17"/>
      <c r="AI25" s="16"/>
      <c r="AJ25" s="16"/>
      <c r="AK25" s="16"/>
      <c r="AL25" s="16"/>
      <c r="AM25" s="17"/>
      <c r="AN25" s="16"/>
      <c r="AO25" s="16"/>
      <c r="AP25" s="16"/>
      <c r="AQ25" s="16"/>
      <c r="AR25" s="17"/>
      <c r="AS25" s="18" t="str">
        <f t="shared" si="0"/>
        <v/>
      </c>
      <c r="AT25" s="13" t="str">
        <f t="shared" si="1"/>
        <v/>
      </c>
      <c r="AU25" s="19" t="str">
        <f t="shared" si="2"/>
        <v/>
      </c>
      <c r="AV25" s="18" t="str">
        <f t="shared" si="3"/>
        <v/>
      </c>
    </row>
    <row r="26" spans="1:48">
      <c r="A26" s="13">
        <v>14</v>
      </c>
      <c r="B26" s="13"/>
      <c r="C26" s="14"/>
      <c r="D26" s="15"/>
      <c r="E26" s="16"/>
      <c r="F26" s="16"/>
      <c r="G26" s="16"/>
      <c r="H26" s="16"/>
      <c r="I26" s="17"/>
      <c r="J26" s="16"/>
      <c r="K26" s="16"/>
      <c r="L26" s="16"/>
      <c r="M26" s="16"/>
      <c r="N26" s="17"/>
      <c r="O26" s="16"/>
      <c r="P26" s="16"/>
      <c r="Q26" s="16"/>
      <c r="R26" s="16"/>
      <c r="S26" s="17"/>
      <c r="T26" s="16"/>
      <c r="U26" s="16"/>
      <c r="V26" s="16"/>
      <c r="W26" s="16"/>
      <c r="X26" s="17"/>
      <c r="Y26" s="16"/>
      <c r="Z26" s="16"/>
      <c r="AA26" s="16"/>
      <c r="AB26" s="16"/>
      <c r="AC26" s="17"/>
      <c r="AD26" s="16"/>
      <c r="AE26" s="16"/>
      <c r="AF26" s="16"/>
      <c r="AG26" s="16"/>
      <c r="AH26" s="17"/>
      <c r="AI26" s="16"/>
      <c r="AJ26" s="16"/>
      <c r="AK26" s="16"/>
      <c r="AL26" s="16"/>
      <c r="AM26" s="17"/>
      <c r="AN26" s="16"/>
      <c r="AO26" s="16"/>
      <c r="AP26" s="16"/>
      <c r="AQ26" s="16"/>
      <c r="AR26" s="17"/>
      <c r="AS26" s="18" t="str">
        <f t="shared" si="0"/>
        <v/>
      </c>
      <c r="AT26" s="13" t="str">
        <f t="shared" si="1"/>
        <v/>
      </c>
      <c r="AU26" s="19" t="str">
        <f t="shared" si="2"/>
        <v/>
      </c>
      <c r="AV26" s="18" t="str">
        <f t="shared" si="3"/>
        <v/>
      </c>
    </row>
    <row r="27" spans="1:48">
      <c r="A27" s="13">
        <v>15</v>
      </c>
      <c r="B27" s="13"/>
      <c r="C27" s="14"/>
      <c r="D27" s="15"/>
      <c r="E27" s="16"/>
      <c r="F27" s="16"/>
      <c r="G27" s="16"/>
      <c r="H27" s="16"/>
      <c r="I27" s="17"/>
      <c r="J27" s="16"/>
      <c r="K27" s="16"/>
      <c r="L27" s="16"/>
      <c r="M27" s="16"/>
      <c r="N27" s="17"/>
      <c r="O27" s="16"/>
      <c r="P27" s="16"/>
      <c r="Q27" s="16"/>
      <c r="R27" s="16"/>
      <c r="S27" s="17"/>
      <c r="T27" s="16"/>
      <c r="U27" s="16"/>
      <c r="V27" s="16"/>
      <c r="W27" s="16"/>
      <c r="X27" s="17"/>
      <c r="Y27" s="16"/>
      <c r="Z27" s="16"/>
      <c r="AA27" s="16"/>
      <c r="AB27" s="16"/>
      <c r="AC27" s="17"/>
      <c r="AD27" s="16"/>
      <c r="AE27" s="16"/>
      <c r="AF27" s="16"/>
      <c r="AG27" s="16"/>
      <c r="AH27" s="17"/>
      <c r="AI27" s="16"/>
      <c r="AJ27" s="16"/>
      <c r="AK27" s="16"/>
      <c r="AL27" s="16"/>
      <c r="AM27" s="17"/>
      <c r="AN27" s="16"/>
      <c r="AO27" s="16"/>
      <c r="AP27" s="16"/>
      <c r="AQ27" s="16"/>
      <c r="AR27" s="17"/>
      <c r="AS27" s="18" t="str">
        <f t="shared" si="0"/>
        <v/>
      </c>
      <c r="AT27" s="13" t="str">
        <f t="shared" si="1"/>
        <v/>
      </c>
      <c r="AU27" s="19" t="str">
        <f t="shared" si="2"/>
        <v/>
      </c>
      <c r="AV27" s="18" t="str">
        <f t="shared" si="3"/>
        <v/>
      </c>
    </row>
    <row r="28" spans="1:48">
      <c r="A28" s="13">
        <v>16</v>
      </c>
      <c r="B28" s="13"/>
      <c r="C28" s="14"/>
      <c r="D28" s="15"/>
      <c r="E28" s="16"/>
      <c r="F28" s="16"/>
      <c r="G28" s="16"/>
      <c r="H28" s="16"/>
      <c r="I28" s="17"/>
      <c r="J28" s="16"/>
      <c r="K28" s="16"/>
      <c r="L28" s="16"/>
      <c r="M28" s="16"/>
      <c r="N28" s="17"/>
      <c r="O28" s="16"/>
      <c r="P28" s="16"/>
      <c r="Q28" s="16"/>
      <c r="R28" s="16"/>
      <c r="S28" s="17"/>
      <c r="T28" s="16"/>
      <c r="U28" s="16"/>
      <c r="V28" s="16"/>
      <c r="W28" s="16"/>
      <c r="X28" s="17"/>
      <c r="Y28" s="16"/>
      <c r="Z28" s="16"/>
      <c r="AA28" s="16"/>
      <c r="AB28" s="16"/>
      <c r="AC28" s="17"/>
      <c r="AD28" s="16"/>
      <c r="AE28" s="16"/>
      <c r="AF28" s="16"/>
      <c r="AG28" s="16"/>
      <c r="AH28" s="17"/>
      <c r="AI28" s="16"/>
      <c r="AJ28" s="16"/>
      <c r="AK28" s="16"/>
      <c r="AL28" s="16"/>
      <c r="AM28" s="17"/>
      <c r="AN28" s="16"/>
      <c r="AO28" s="16"/>
      <c r="AP28" s="16"/>
      <c r="AQ28" s="16"/>
      <c r="AR28" s="17"/>
      <c r="AS28" s="18" t="str">
        <f t="shared" si="0"/>
        <v/>
      </c>
      <c r="AT28" s="13" t="str">
        <f t="shared" si="1"/>
        <v/>
      </c>
      <c r="AU28" s="19" t="str">
        <f t="shared" si="2"/>
        <v/>
      </c>
      <c r="AV28" s="18" t="str">
        <f t="shared" si="3"/>
        <v/>
      </c>
    </row>
    <row r="29" spans="1:48">
      <c r="A29" s="13">
        <v>17</v>
      </c>
      <c r="B29" s="13"/>
      <c r="C29" s="14"/>
      <c r="D29" s="15"/>
      <c r="E29" s="16"/>
      <c r="F29" s="16"/>
      <c r="G29" s="16"/>
      <c r="H29" s="16"/>
      <c r="I29" s="17"/>
      <c r="J29" s="16"/>
      <c r="K29" s="16"/>
      <c r="L29" s="16"/>
      <c r="M29" s="16"/>
      <c r="N29" s="17"/>
      <c r="O29" s="16"/>
      <c r="P29" s="16"/>
      <c r="Q29" s="16"/>
      <c r="R29" s="16"/>
      <c r="S29" s="17"/>
      <c r="T29" s="16"/>
      <c r="U29" s="16"/>
      <c r="V29" s="16"/>
      <c r="W29" s="16"/>
      <c r="X29" s="17"/>
      <c r="Y29" s="16"/>
      <c r="Z29" s="16"/>
      <c r="AA29" s="16"/>
      <c r="AB29" s="16"/>
      <c r="AC29" s="17"/>
      <c r="AD29" s="16"/>
      <c r="AE29" s="16"/>
      <c r="AF29" s="16"/>
      <c r="AG29" s="16"/>
      <c r="AH29" s="17"/>
      <c r="AI29" s="16"/>
      <c r="AJ29" s="16"/>
      <c r="AK29" s="16"/>
      <c r="AL29" s="16"/>
      <c r="AM29" s="17"/>
      <c r="AN29" s="16"/>
      <c r="AO29" s="16"/>
      <c r="AP29" s="16"/>
      <c r="AQ29" s="16"/>
      <c r="AR29" s="17"/>
      <c r="AS29" s="18" t="str">
        <f t="shared" si="0"/>
        <v/>
      </c>
      <c r="AT29" s="13" t="str">
        <f t="shared" si="1"/>
        <v/>
      </c>
      <c r="AU29" s="19" t="str">
        <f t="shared" si="2"/>
        <v/>
      </c>
      <c r="AV29" s="18" t="str">
        <f t="shared" si="3"/>
        <v/>
      </c>
    </row>
    <row r="30" spans="1:48">
      <c r="A30" s="13">
        <v>18</v>
      </c>
      <c r="B30" s="13"/>
      <c r="C30" s="14"/>
      <c r="D30" s="15"/>
      <c r="E30" s="16"/>
      <c r="F30" s="16"/>
      <c r="G30" s="16"/>
      <c r="H30" s="16"/>
      <c r="I30" s="17"/>
      <c r="J30" s="16"/>
      <c r="K30" s="16"/>
      <c r="L30" s="16"/>
      <c r="M30" s="16"/>
      <c r="N30" s="17"/>
      <c r="O30" s="16"/>
      <c r="P30" s="16"/>
      <c r="Q30" s="16"/>
      <c r="R30" s="16"/>
      <c r="S30" s="17"/>
      <c r="T30" s="16"/>
      <c r="U30" s="16"/>
      <c r="V30" s="16"/>
      <c r="W30" s="16"/>
      <c r="X30" s="17"/>
      <c r="Y30" s="16"/>
      <c r="Z30" s="16"/>
      <c r="AA30" s="16"/>
      <c r="AB30" s="16"/>
      <c r="AC30" s="17"/>
      <c r="AD30" s="16"/>
      <c r="AE30" s="16"/>
      <c r="AF30" s="16"/>
      <c r="AG30" s="16"/>
      <c r="AH30" s="17"/>
      <c r="AI30" s="16"/>
      <c r="AJ30" s="16"/>
      <c r="AK30" s="16"/>
      <c r="AL30" s="16"/>
      <c r="AM30" s="17"/>
      <c r="AN30" s="16"/>
      <c r="AO30" s="16"/>
      <c r="AP30" s="16"/>
      <c r="AQ30" s="16"/>
      <c r="AR30" s="17"/>
      <c r="AS30" s="18" t="str">
        <f t="shared" si="0"/>
        <v/>
      </c>
      <c r="AT30" s="13" t="str">
        <f t="shared" si="1"/>
        <v/>
      </c>
      <c r="AU30" s="19" t="str">
        <f t="shared" si="2"/>
        <v/>
      </c>
      <c r="AV30" s="18" t="str">
        <f t="shared" si="3"/>
        <v/>
      </c>
    </row>
    <row r="31" spans="1:48" ht="19.5" customHeight="1">
      <c r="A31" s="13"/>
      <c r="B31" s="13"/>
      <c r="C31" s="14"/>
      <c r="D31" s="15"/>
      <c r="E31" s="16"/>
      <c r="F31" s="16"/>
      <c r="G31" s="16"/>
      <c r="H31" s="16"/>
      <c r="I31" s="17"/>
      <c r="J31" s="16"/>
      <c r="K31" s="16"/>
      <c r="L31" s="16"/>
      <c r="M31" s="16"/>
      <c r="N31" s="17"/>
      <c r="O31" s="16"/>
      <c r="P31" s="16"/>
      <c r="Q31" s="16"/>
      <c r="R31" s="16"/>
      <c r="S31" s="17"/>
      <c r="T31" s="16"/>
      <c r="U31" s="16"/>
      <c r="V31" s="16"/>
      <c r="W31" s="16"/>
      <c r="X31" s="17"/>
      <c r="Y31" s="16"/>
      <c r="Z31" s="16"/>
      <c r="AA31" s="16"/>
      <c r="AB31" s="16"/>
      <c r="AC31" s="17"/>
      <c r="AD31" s="16"/>
      <c r="AE31" s="16"/>
      <c r="AF31" s="16"/>
      <c r="AG31" s="16"/>
      <c r="AH31" s="17"/>
      <c r="AI31" s="16"/>
      <c r="AJ31" s="16"/>
      <c r="AK31" s="16"/>
      <c r="AL31" s="16"/>
      <c r="AM31" s="17"/>
      <c r="AN31" s="16"/>
      <c r="AO31" s="16"/>
      <c r="AP31" s="16"/>
      <c r="AQ31" s="16"/>
      <c r="AR31" s="17"/>
      <c r="AS31" s="18" t="str">
        <f t="shared" si="0"/>
        <v/>
      </c>
      <c r="AT31" s="13" t="str">
        <f t="shared" si="1"/>
        <v/>
      </c>
      <c r="AU31" s="19" t="str">
        <f t="shared" si="2"/>
        <v/>
      </c>
      <c r="AV31" s="18" t="str">
        <f t="shared" si="3"/>
        <v/>
      </c>
    </row>
    <row r="32" spans="1:48" ht="19.5" customHeight="1">
      <c r="A32" s="13"/>
      <c r="B32" s="13"/>
      <c r="C32" s="14"/>
      <c r="D32" s="15"/>
      <c r="E32" s="16"/>
      <c r="F32" s="16"/>
      <c r="G32" s="16"/>
      <c r="H32" s="16"/>
      <c r="I32" s="17"/>
      <c r="J32" s="16"/>
      <c r="K32" s="16"/>
      <c r="L32" s="16"/>
      <c r="M32" s="16"/>
      <c r="N32" s="17"/>
      <c r="O32" s="16"/>
      <c r="P32" s="16"/>
      <c r="Q32" s="16"/>
      <c r="R32" s="16"/>
      <c r="S32" s="17"/>
      <c r="T32" s="16"/>
      <c r="U32" s="16"/>
      <c r="V32" s="16"/>
      <c r="W32" s="16"/>
      <c r="X32" s="17"/>
      <c r="Y32" s="16"/>
      <c r="Z32" s="16"/>
      <c r="AA32" s="16"/>
      <c r="AB32" s="16"/>
      <c r="AC32" s="17"/>
      <c r="AD32" s="16"/>
      <c r="AE32" s="16"/>
      <c r="AF32" s="16"/>
      <c r="AG32" s="16"/>
      <c r="AH32" s="17"/>
      <c r="AI32" s="16"/>
      <c r="AJ32" s="16"/>
      <c r="AK32" s="16"/>
      <c r="AL32" s="16"/>
      <c r="AM32" s="17"/>
      <c r="AN32" s="16"/>
      <c r="AO32" s="16"/>
      <c r="AP32" s="16"/>
      <c r="AQ32" s="16"/>
      <c r="AR32" s="17"/>
      <c r="AS32" s="18" t="str">
        <f t="shared" si="0"/>
        <v/>
      </c>
      <c r="AT32" s="13" t="str">
        <f t="shared" si="1"/>
        <v/>
      </c>
      <c r="AU32" s="19" t="str">
        <f t="shared" si="2"/>
        <v/>
      </c>
      <c r="AV32" s="18" t="str">
        <f t="shared" si="3"/>
        <v/>
      </c>
    </row>
    <row r="33" spans="1:48" ht="19.5" customHeight="1">
      <c r="A33" s="13"/>
      <c r="B33" s="13"/>
      <c r="C33" s="14"/>
      <c r="D33" s="15"/>
      <c r="E33" s="16"/>
      <c r="F33" s="16"/>
      <c r="G33" s="16"/>
      <c r="H33" s="16"/>
      <c r="I33" s="17"/>
      <c r="J33" s="16"/>
      <c r="K33" s="16"/>
      <c r="L33" s="16"/>
      <c r="M33" s="16"/>
      <c r="N33" s="17"/>
      <c r="O33" s="16"/>
      <c r="P33" s="16"/>
      <c r="Q33" s="16"/>
      <c r="R33" s="16"/>
      <c r="S33" s="17"/>
      <c r="T33" s="16"/>
      <c r="U33" s="16"/>
      <c r="V33" s="16"/>
      <c r="W33" s="16"/>
      <c r="X33" s="17"/>
      <c r="Y33" s="16"/>
      <c r="Z33" s="16"/>
      <c r="AA33" s="16"/>
      <c r="AB33" s="16"/>
      <c r="AC33" s="17"/>
      <c r="AD33" s="16"/>
      <c r="AE33" s="16"/>
      <c r="AF33" s="16"/>
      <c r="AG33" s="16"/>
      <c r="AH33" s="17"/>
      <c r="AI33" s="16"/>
      <c r="AJ33" s="16"/>
      <c r="AK33" s="16"/>
      <c r="AL33" s="16"/>
      <c r="AM33" s="17"/>
      <c r="AN33" s="16"/>
      <c r="AO33" s="16"/>
      <c r="AP33" s="16"/>
      <c r="AQ33" s="16"/>
      <c r="AR33" s="17"/>
      <c r="AS33" s="18" t="str">
        <f t="shared" si="0"/>
        <v/>
      </c>
      <c r="AT33" s="13" t="str">
        <f t="shared" si="1"/>
        <v/>
      </c>
      <c r="AU33" s="19" t="str">
        <f t="shared" si="2"/>
        <v/>
      </c>
      <c r="AV33" s="18" t="str">
        <f t="shared" si="3"/>
        <v/>
      </c>
    </row>
    <row r="34" spans="1:48" ht="19.5" customHeight="1">
      <c r="A34" s="13"/>
      <c r="B34" s="13"/>
      <c r="C34" s="14"/>
      <c r="D34" s="15"/>
      <c r="E34" s="16"/>
      <c r="F34" s="16"/>
      <c r="G34" s="16"/>
      <c r="H34" s="16"/>
      <c r="I34" s="17"/>
      <c r="J34" s="16"/>
      <c r="K34" s="16"/>
      <c r="L34" s="16"/>
      <c r="M34" s="16"/>
      <c r="N34" s="17"/>
      <c r="O34" s="16"/>
      <c r="P34" s="16"/>
      <c r="Q34" s="16"/>
      <c r="R34" s="16"/>
      <c r="S34" s="17"/>
      <c r="T34" s="16"/>
      <c r="U34" s="16"/>
      <c r="V34" s="16"/>
      <c r="W34" s="16"/>
      <c r="X34" s="17"/>
      <c r="Y34" s="16"/>
      <c r="Z34" s="16"/>
      <c r="AA34" s="16"/>
      <c r="AB34" s="16"/>
      <c r="AC34" s="17"/>
      <c r="AD34" s="16"/>
      <c r="AE34" s="16"/>
      <c r="AF34" s="16"/>
      <c r="AG34" s="16"/>
      <c r="AH34" s="17"/>
      <c r="AI34" s="16"/>
      <c r="AJ34" s="16"/>
      <c r="AK34" s="16"/>
      <c r="AL34" s="16"/>
      <c r="AM34" s="17"/>
      <c r="AN34" s="16"/>
      <c r="AO34" s="16"/>
      <c r="AP34" s="16"/>
      <c r="AQ34" s="16"/>
      <c r="AR34" s="17"/>
      <c r="AS34" s="18" t="str">
        <f t="shared" si="0"/>
        <v/>
      </c>
      <c r="AT34" s="13" t="str">
        <f t="shared" si="1"/>
        <v/>
      </c>
      <c r="AU34" s="19" t="str">
        <f t="shared" si="2"/>
        <v/>
      </c>
      <c r="AV34" s="18" t="str">
        <f t="shared" si="3"/>
        <v/>
      </c>
    </row>
    <row r="35" spans="1:48" ht="19.5" customHeight="1" thickBot="1">
      <c r="A35" s="13"/>
      <c r="B35" s="13"/>
      <c r="C35" s="14"/>
      <c r="D35" s="15"/>
      <c r="E35" s="16"/>
      <c r="F35" s="16"/>
      <c r="G35" s="16"/>
      <c r="H35" s="16"/>
      <c r="I35" s="17"/>
      <c r="J35" s="16"/>
      <c r="K35" s="16"/>
      <c r="L35" s="16"/>
      <c r="M35" s="16"/>
      <c r="N35" s="17"/>
      <c r="O35" s="16"/>
      <c r="P35" s="16"/>
      <c r="Q35" s="16"/>
      <c r="R35" s="16"/>
      <c r="S35" s="17"/>
      <c r="T35" s="16"/>
      <c r="U35" s="16"/>
      <c r="V35" s="16"/>
      <c r="W35" s="16"/>
      <c r="X35" s="17"/>
      <c r="Y35" s="16"/>
      <c r="Z35" s="16"/>
      <c r="AA35" s="16"/>
      <c r="AB35" s="16"/>
      <c r="AC35" s="17"/>
      <c r="AD35" s="16"/>
      <c r="AE35" s="16"/>
      <c r="AF35" s="16"/>
      <c r="AG35" s="16"/>
      <c r="AH35" s="17"/>
      <c r="AI35" s="16"/>
      <c r="AJ35" s="16"/>
      <c r="AK35" s="16"/>
      <c r="AL35" s="16"/>
      <c r="AM35" s="17"/>
      <c r="AN35" s="16"/>
      <c r="AO35" s="16"/>
      <c r="AP35" s="16"/>
      <c r="AQ35" s="16"/>
      <c r="AR35" s="17"/>
      <c r="AS35" s="18" t="str">
        <f t="shared" si="0"/>
        <v/>
      </c>
      <c r="AT35" s="13" t="str">
        <f t="shared" si="1"/>
        <v/>
      </c>
      <c r="AU35" s="19" t="str">
        <f t="shared" si="2"/>
        <v/>
      </c>
      <c r="AV35" s="18" t="str">
        <f t="shared" si="3"/>
        <v/>
      </c>
    </row>
    <row r="36" spans="1:48" ht="114.75" customHeight="1" thickBot="1">
      <c r="A36" s="30" t="s">
        <v>68</v>
      </c>
      <c r="B36" s="30"/>
      <c r="C36" s="30"/>
      <c r="D36" s="30"/>
      <c r="E36" s="20" t="str">
        <f t="shared" ref="E36:AR36" si="4">IF(E$9="कार्यरत",COUNTIF(E13:E35,"P"),IF(E$10&lt;&gt;"",E$10,IF(E$9&lt;&gt;"",E$9,IF(E$11="","",IF(WEEKDAY(E$11)=1,"रविवार",COUNTIF(E13:E35,"P"))))))</f>
        <v/>
      </c>
      <c r="F36" s="20" t="str">
        <f t="shared" si="4"/>
        <v/>
      </c>
      <c r="G36" s="20" t="str">
        <f t="shared" si="4"/>
        <v/>
      </c>
      <c r="H36" s="20" t="str">
        <f t="shared" si="4"/>
        <v/>
      </c>
      <c r="I36" s="21" t="str">
        <f t="shared" si="4"/>
        <v/>
      </c>
      <c r="J36" s="20" t="str">
        <f t="shared" si="4"/>
        <v/>
      </c>
      <c r="K36" s="20" t="str">
        <f t="shared" si="4"/>
        <v/>
      </c>
      <c r="L36" s="20" t="str">
        <f t="shared" si="4"/>
        <v/>
      </c>
      <c r="M36" s="20" t="str">
        <f t="shared" si="4"/>
        <v/>
      </c>
      <c r="N36" s="21" t="str">
        <f t="shared" si="4"/>
        <v/>
      </c>
      <c r="O36" s="20" t="str">
        <f t="shared" si="4"/>
        <v/>
      </c>
      <c r="P36" s="20" t="str">
        <f t="shared" si="4"/>
        <v/>
      </c>
      <c r="Q36" s="20" t="str">
        <f t="shared" si="4"/>
        <v/>
      </c>
      <c r="R36" s="20" t="str">
        <f t="shared" si="4"/>
        <v/>
      </c>
      <c r="S36" s="21" t="str">
        <f t="shared" si="4"/>
        <v/>
      </c>
      <c r="T36" s="20" t="str">
        <f t="shared" si="4"/>
        <v/>
      </c>
      <c r="U36" s="20" t="str">
        <f t="shared" si="4"/>
        <v/>
      </c>
      <c r="V36" s="20" t="str">
        <f t="shared" si="4"/>
        <v/>
      </c>
      <c r="W36" s="20" t="str">
        <f t="shared" si="4"/>
        <v/>
      </c>
      <c r="X36" s="21" t="str">
        <f t="shared" si="4"/>
        <v/>
      </c>
      <c r="Y36" s="20" t="str">
        <f t="shared" si="4"/>
        <v/>
      </c>
      <c r="Z36" s="20" t="str">
        <f t="shared" si="4"/>
        <v/>
      </c>
      <c r="AA36" s="20" t="str">
        <f t="shared" si="4"/>
        <v/>
      </c>
      <c r="AB36" s="20" t="str">
        <f t="shared" si="4"/>
        <v/>
      </c>
      <c r="AC36" s="21" t="str">
        <f t="shared" si="4"/>
        <v/>
      </c>
      <c r="AD36" s="20" t="str">
        <f t="shared" si="4"/>
        <v/>
      </c>
      <c r="AE36" s="20" t="str">
        <f t="shared" si="4"/>
        <v/>
      </c>
      <c r="AF36" s="20" t="str">
        <f t="shared" si="4"/>
        <v/>
      </c>
      <c r="AG36" s="20" t="str">
        <f t="shared" si="4"/>
        <v/>
      </c>
      <c r="AH36" s="21" t="str">
        <f t="shared" si="4"/>
        <v/>
      </c>
      <c r="AI36" s="20" t="str">
        <f t="shared" si="4"/>
        <v/>
      </c>
      <c r="AJ36" s="20" t="str">
        <f t="shared" si="4"/>
        <v/>
      </c>
      <c r="AK36" s="20" t="str">
        <f t="shared" si="4"/>
        <v/>
      </c>
      <c r="AL36" s="20" t="str">
        <f t="shared" si="4"/>
        <v/>
      </c>
      <c r="AM36" s="21" t="str">
        <f t="shared" si="4"/>
        <v/>
      </c>
      <c r="AN36" s="20" t="str">
        <f t="shared" si="4"/>
        <v/>
      </c>
      <c r="AO36" s="20" t="str">
        <f t="shared" si="4"/>
        <v/>
      </c>
      <c r="AP36" s="20" t="str">
        <f t="shared" si="4"/>
        <v/>
      </c>
      <c r="AQ36" s="20" t="str">
        <f t="shared" si="4"/>
        <v/>
      </c>
      <c r="AR36" s="21" t="str">
        <f t="shared" si="4"/>
        <v/>
      </c>
      <c r="AS36" s="22"/>
      <c r="AT36" s="22"/>
      <c r="AU36" s="22"/>
      <c r="AV36" s="22"/>
    </row>
    <row r="37" spans="1:48" hidden="1">
      <c r="A37" s="23" t="s">
        <v>69</v>
      </c>
      <c r="E37">
        <f t="shared" ref="E37:AR37" si="5">IF(E11="",0,IF(E9="कार्यरत",1,IF(OR(E9&lt;&gt;"",E10&lt;&gt;""),0,IF(WEEKDAY(E11)=1,0,1))))</f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0</v>
      </c>
      <c r="J37">
        <f t="shared" si="5"/>
        <v>0</v>
      </c>
      <c r="K37">
        <f t="shared" si="5"/>
        <v>0</v>
      </c>
      <c r="L37">
        <f t="shared" si="5"/>
        <v>0</v>
      </c>
      <c r="M37">
        <f t="shared" si="5"/>
        <v>0</v>
      </c>
      <c r="N37">
        <f t="shared" si="5"/>
        <v>0</v>
      </c>
      <c r="O37">
        <f t="shared" si="5"/>
        <v>0</v>
      </c>
      <c r="P37">
        <f t="shared" si="5"/>
        <v>0</v>
      </c>
      <c r="Q37">
        <f t="shared" si="5"/>
        <v>0</v>
      </c>
      <c r="R37">
        <f t="shared" si="5"/>
        <v>0</v>
      </c>
      <c r="S37">
        <f t="shared" si="5"/>
        <v>0</v>
      </c>
      <c r="T37">
        <f t="shared" si="5"/>
        <v>0</v>
      </c>
      <c r="U37">
        <f t="shared" si="5"/>
        <v>0</v>
      </c>
      <c r="V37">
        <f t="shared" si="5"/>
        <v>0</v>
      </c>
      <c r="W37">
        <f t="shared" si="5"/>
        <v>0</v>
      </c>
      <c r="X37">
        <f t="shared" si="5"/>
        <v>0</v>
      </c>
      <c r="Y37">
        <f t="shared" si="5"/>
        <v>0</v>
      </c>
      <c r="Z37">
        <f t="shared" si="5"/>
        <v>0</v>
      </c>
      <c r="AA37">
        <f t="shared" si="5"/>
        <v>0</v>
      </c>
      <c r="AB37">
        <f t="shared" si="5"/>
        <v>0</v>
      </c>
      <c r="AC37">
        <f t="shared" si="5"/>
        <v>0</v>
      </c>
      <c r="AD37">
        <f t="shared" si="5"/>
        <v>0</v>
      </c>
      <c r="AE37">
        <f t="shared" si="5"/>
        <v>0</v>
      </c>
      <c r="AF37">
        <f t="shared" si="5"/>
        <v>0</v>
      </c>
      <c r="AG37">
        <f t="shared" si="5"/>
        <v>0</v>
      </c>
      <c r="AH37">
        <f t="shared" si="5"/>
        <v>0</v>
      </c>
      <c r="AI37">
        <f t="shared" si="5"/>
        <v>0</v>
      </c>
      <c r="AJ37">
        <f t="shared" si="5"/>
        <v>0</v>
      </c>
      <c r="AK37">
        <f t="shared" si="5"/>
        <v>0</v>
      </c>
      <c r="AL37">
        <f t="shared" si="5"/>
        <v>0</v>
      </c>
      <c r="AM37">
        <f t="shared" si="5"/>
        <v>0</v>
      </c>
      <c r="AN37">
        <f t="shared" si="5"/>
        <v>0</v>
      </c>
      <c r="AO37">
        <f t="shared" si="5"/>
        <v>0</v>
      </c>
      <c r="AP37">
        <f t="shared" si="5"/>
        <v>0</v>
      </c>
      <c r="AQ37">
        <f t="shared" si="5"/>
        <v>0</v>
      </c>
      <c r="AR37">
        <f t="shared" si="5"/>
        <v>0</v>
      </c>
    </row>
    <row r="39" spans="1:48" ht="15">
      <c r="A39" s="27" t="s">
        <v>70</v>
      </c>
      <c r="B39" s="27"/>
      <c r="C39" s="24">
        <f>COUNTIF($C$13:$C$35,"?*")</f>
        <v>0</v>
      </c>
      <c r="F39" s="25"/>
    </row>
    <row r="40" spans="1:48" ht="15">
      <c r="A40" s="27" t="s">
        <v>71</v>
      </c>
      <c r="B40" s="27"/>
      <c r="C40" s="24">
        <f>SUM($E$37:$AR$37)</f>
        <v>0</v>
      </c>
      <c r="F40" s="25"/>
    </row>
    <row r="41" spans="1:48" ht="15">
      <c r="A41" s="27" t="s">
        <v>72</v>
      </c>
      <c r="B41" s="27"/>
      <c r="C41" s="24">
        <f>SUMPRODUCT(($E$11:$AR$11&lt;&gt;"")*($E$37:$AR$37=0))</f>
        <v>0</v>
      </c>
      <c r="F41" s="25"/>
    </row>
    <row r="42" spans="1:48" ht="15">
      <c r="A42" s="27" t="s">
        <v>73</v>
      </c>
      <c r="B42" s="27"/>
      <c r="C42" s="24">
        <f>COUNTIF($AV$13:$AV$35,"पात्र")</f>
        <v>0</v>
      </c>
      <c r="F42" s="25"/>
    </row>
    <row r="43" spans="1:48" ht="15">
      <c r="A43" s="27" t="s">
        <v>74</v>
      </c>
      <c r="B43" s="27"/>
      <c r="C43" s="24">
        <f>COUNTIF($AV$13:$AV$35,"कमी उपस्थिती")</f>
        <v>0</v>
      </c>
      <c r="F43" s="25"/>
      <c r="AJ43" s="28" t="s">
        <v>75</v>
      </c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spans="1:48" ht="15">
      <c r="A44" s="27" t="s">
        <v>76</v>
      </c>
      <c r="B44" s="27"/>
      <c r="C44" s="26" t="str">
        <f>IFERROR(AVERAGE($AU$13:$AU$35),"")</f>
        <v/>
      </c>
    </row>
  </sheetData>
  <mergeCells count="29">
    <mergeCell ref="A1:AV1"/>
    <mergeCell ref="A2:AV2"/>
    <mergeCell ref="A3:AV3"/>
    <mergeCell ref="B4:C4"/>
    <mergeCell ref="U4:AA4"/>
    <mergeCell ref="AB4:AV4"/>
    <mergeCell ref="B5:C5"/>
    <mergeCell ref="U5:AA5"/>
    <mergeCell ref="AB5:AV5"/>
    <mergeCell ref="B6:C6"/>
    <mergeCell ref="U6:AA6"/>
    <mergeCell ref="AB6:AV6"/>
    <mergeCell ref="A40:B40"/>
    <mergeCell ref="U7:AA7"/>
    <mergeCell ref="AB7:AE7"/>
    <mergeCell ref="A9:A12"/>
    <mergeCell ref="B9:B12"/>
    <mergeCell ref="C9:C12"/>
    <mergeCell ref="AT9:AT12"/>
    <mergeCell ref="AU9:AU12"/>
    <mergeCell ref="AV9:AV12"/>
    <mergeCell ref="A36:D36"/>
    <mergeCell ref="A39:B39"/>
    <mergeCell ref="AS9:AS12"/>
    <mergeCell ref="A41:B41"/>
    <mergeCell ref="A42:B42"/>
    <mergeCell ref="A43:B43"/>
    <mergeCell ref="AJ43:AV43"/>
    <mergeCell ref="A44:B44"/>
  </mergeCells>
  <conditionalFormatting sqref="A13:AV35">
    <cfRule type="expression" dxfId="7" priority="8">
      <formula>MOD(ROW()-13,2)=1</formula>
    </cfRule>
  </conditionalFormatting>
  <conditionalFormatting sqref="E9:AR9">
    <cfRule type="expression" dxfId="6" priority="2">
      <formula>E$9="कार्यरत"</formula>
    </cfRule>
  </conditionalFormatting>
  <conditionalFormatting sqref="E9:AR36">
    <cfRule type="expression" dxfId="5" priority="3">
      <formula>AND(E$9&lt;&gt;"कार्यरत",OR(E$9&lt;&gt;"",E$10&lt;&gt;"",AND(ISNUMBER(E$11),WEEKDAY(E$11)=1)))</formula>
    </cfRule>
  </conditionalFormatting>
  <conditionalFormatting sqref="E10:AR10">
    <cfRule type="expression" dxfId="4" priority="1">
      <formula>E$10&lt;&gt;""</formula>
    </cfRule>
  </conditionalFormatting>
  <conditionalFormatting sqref="E13:AR35">
    <cfRule type="cellIs" dxfId="3" priority="4" operator="equal">
      <formula>"A"</formula>
    </cfRule>
    <cfRule type="cellIs" dxfId="2" priority="5" operator="equal">
      <formula>"P"</formula>
    </cfRule>
  </conditionalFormatting>
  <conditionalFormatting sqref="AV13:AV35">
    <cfRule type="cellIs" dxfId="1" priority="6" operator="equal">
      <formula>"कमी उपस्थिती"</formula>
    </cfRule>
    <cfRule type="cellIs" dxfId="0" priority="7" operator="equal">
      <formula>"पात्र"</formula>
    </cfRule>
  </conditionalFormatting>
  <dataValidations count="5">
    <dataValidation type="date" operator="greaterThan" showErrorMessage="1" error="Enter a valid date, e.g. 21/09/26" sqref="E11:AR11" xr:uid="{499B4C2A-24D9-4DFC-96E8-C2E566D0B895}">
      <formula1>36526</formula1>
      <formula2>0</formula2>
    </dataValidation>
    <dataValidation type="list" allowBlank="1" showInputMessage="1" promptTitle="स्थिती" prompt="सुट्टी असल्यास ती निवडा. रविवारी / सुट्टीच्या दिवशी तासिका घेतली असल्यास 'कार्यरत' निवडा. नेहमीच्या दिवशी रिकामे ठेवा (Delete दाबा." sqref="E9:AR9" xr:uid="{1C435EF0-D85B-422F-A43E-7144CF247177}">
      <formula1>"कार्यरत,रविवार,सुट्टी,तासिका नाही,परीक्षा"</formula1>
      <formula2>0</formula2>
    </dataValidation>
    <dataValidation type="list" allowBlank="1" showErrorMessage="1" errorTitle="फक्त P किंवा A" error="Enter P (present) or A (absent) only." sqref="E13:AR35" xr:uid="{97B86938-9C3A-4745-98D1-EAD57DEF372C}">
      <formula1>"P,A"</formula1>
      <formula2>0</formula2>
    </dataValidation>
    <dataValidation type="decimal" sqref="AB7" xr:uid="{6670B9B5-F7DD-4705-8913-C5639112AAD9}">
      <formula1>0</formula1>
      <formula2>1</formula2>
    </dataValidation>
    <dataValidation type="list" allowBlank="1" sqref="B7" xr:uid="{7E77996E-236F-462F-9C2B-D45D0B0FBE38}">
      <formula1>"प्रथम,द्वितीय"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Ghaytidak</dc:creator>
  <cp:lastModifiedBy>Pratik Ghaytidak</cp:lastModifiedBy>
  <dcterms:created xsi:type="dcterms:W3CDTF">2026-10-18T17:06:33Z</dcterms:created>
  <dcterms:modified xsi:type="dcterms:W3CDTF">2026-10-18T17:36:51Z</dcterms:modified>
</cp:coreProperties>
</file>